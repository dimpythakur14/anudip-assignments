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C4E8C920-C130-4A66-BF7F-5603C8777A43}" xr6:coauthVersionLast="37" xr6:coauthVersionMax="37" xr10:uidLastSave="{00000000-0000-0000-0000-000000000000}"/>
  <bookViews>
    <workbookView xWindow="0" yWindow="0" windowWidth="13215" windowHeight="10770" xr2:uid="{00000000-000D-0000-FFFF-FFFF00000000}"/>
  </bookViews>
  <sheets>
    <sheet name="SalesData" sheetId="1" r:id="rId1"/>
  </sheets>
  <calcPr calcId="17902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5" i="1"/>
  <c r="K6" i="1"/>
  <c r="K7" i="1"/>
  <c r="K4" i="1"/>
  <c r="K3" i="1"/>
  <c r="K2" i="1"/>
  <c r="J3" i="1"/>
  <c r="J4" i="1"/>
  <c r="J5" i="1"/>
  <c r="J6" i="1"/>
  <c r="J7" i="1"/>
  <c r="J2" i="1"/>
  <c r="I4" i="1"/>
  <c r="I5" i="1"/>
  <c r="I6" i="1"/>
  <c r="I7" i="1"/>
  <c r="I3" i="1"/>
  <c r="H5" i="1"/>
  <c r="H6" i="1"/>
  <c r="H7" i="1"/>
  <c r="H4" i="1"/>
  <c r="H3" i="1"/>
  <c r="H2" i="1"/>
  <c r="G6" i="1"/>
  <c r="G3" i="1"/>
  <c r="G4" i="1"/>
  <c r="G5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<sst xmlns="http://schemas.openxmlformats.org/spreadsheetml/2006/main" count="33" uniqueCount="31">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</sst>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B24" sqref="B24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21.7109375" customWidth="1"/>
    <col min="11" max="11" width="17.5703125" customWidth="1"/>
    <col min="12" max="12" width="19" customWidth="1"/>
    <col min="13" max="13" width="23.855468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5" t="str">
        <f>IF(C2&gt;=D2,"Yes","No")</f>
        <v>No</v>
      </c>
      <c r="G2" s="5" t="str">
        <f>IF(AND(E2="North",C2&gt;200),"Eligible","Not Eligible")</f>
        <v>Not Eligible</v>
      </c>
      <c r="H2" s="4">
        <f>IF(C2&gt;=200,10%,IF(C2&gt;=150,7%,5%))</f>
        <v>0.05</v>
      </c>
      <c r="I2" s="4">
        <v>6</v>
      </c>
      <c r="J2" s="4" t="str">
        <f>IF(C2&gt;=200,"Excellent",IF(C2&gt;=150,"good","needs improvement"))</f>
        <v>needs improvement</v>
      </c>
      <c r="K2" s="4" t="str">
        <f>IF(C2&gt;=200,"HIGH",IF(C2&gt;=100,"MEDIUM","LOW"))</f>
        <v>MEDIUM</v>
      </c>
      <c r="L2" s="4" t="str">
        <f>IF(AND(C2&gt;=150,E2="north"),"$500","$300")</f>
        <v>$300</v>
      </c>
      <c r="M2" s="4" t="str">
        <f>IF(C2&gt;=PERCENTILE($C$2:$C$7,0.75),"YES","NO")</f>
        <v>NO</v>
      </c>
    </row>
    <row r="3" spans="1:13" x14ac:dyDescent="0.25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5" t="str">
        <f t="shared" ref="F3:F7" si="0">IF(C3&gt;=D3,"Yes","No")</f>
        <v>Yes</v>
      </c>
      <c r="G3" s="4" t="str">
        <f t="shared" ref="G3:G7" si="1">IF(AND(E3="North",C3&gt;200),"Eligible","Not Eligible")</f>
        <v>Not Eligible</v>
      </c>
      <c r="H3" s="4">
        <f>IF(C3&gt;=200,10%,IF(C3&gt;=150,7%,5%))</f>
        <v>7.0000000000000007E-2</v>
      </c>
      <c r="I3" s="4">
        <f>IF(C3&gt;=D3,C3*10%,C3*5%)</f>
        <v>15</v>
      </c>
      <c r="J3" s="4" t="str">
        <f t="shared" ref="J3:J7" si="2">IF(C3&gt;=200,"Excellent",IF(C3&gt;=150,"good","needs improvement"))</f>
        <v>good</v>
      </c>
      <c r="K3" s="4" t="str">
        <f>IF(C3&gt;=200,"HIGH",IF(C3&gt;=100,"MEDIUM","LOW"))</f>
        <v>MEDIUM</v>
      </c>
      <c r="L3" s="4" t="str">
        <f t="shared" ref="L3:L7" si="3">IF(AND(C3&gt;=150,E3="north"),"$500","$300")</f>
        <v>$300</v>
      </c>
      <c r="M3" s="4" t="str">
        <f t="shared" ref="M3:M7" si="4">IF(C3&gt;=PERCENTILE($C$2:$C$7,0.75),"YES","NO")</f>
        <v>NO</v>
      </c>
    </row>
    <row r="4" spans="1:13" x14ac:dyDescent="0.25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5" t="str">
        <f t="shared" si="0"/>
        <v>Yes</v>
      </c>
      <c r="G4" s="4" t="str">
        <f t="shared" si="1"/>
        <v>Not Eligible</v>
      </c>
      <c r="H4" s="4">
        <f>IF(C4&gt;=200,10%,IF(C4&gt;=150,7%,5%))</f>
        <v>0.1</v>
      </c>
      <c r="I4" s="4">
        <f t="shared" ref="I4:I7" si="5">IF(C4&gt;=D4,C4*10%,C4*5%)</f>
        <v>20</v>
      </c>
      <c r="J4" s="4" t="str">
        <f t="shared" si="2"/>
        <v>Excellent</v>
      </c>
      <c r="K4" s="4" t="str">
        <f>IF(C4&gt;=200,"HIGH",IF(C4&gt;=100,"MEDIUM","LOW"))</f>
        <v>HIGH</v>
      </c>
      <c r="L4" s="4" t="str">
        <f t="shared" si="3"/>
        <v>$300</v>
      </c>
      <c r="M4" s="4" t="str">
        <f t="shared" si="4"/>
        <v>YES</v>
      </c>
    </row>
    <row r="5" spans="1:13" x14ac:dyDescent="0.25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5" t="str">
        <f t="shared" si="0"/>
        <v>No</v>
      </c>
      <c r="G5" s="4" t="str">
        <f t="shared" si="1"/>
        <v>Not Eligible</v>
      </c>
      <c r="H5" s="4">
        <f t="shared" ref="H5:H7" si="6">IF(C5&gt;=200,10%,IF(C5&gt;=150,7%,5%))</f>
        <v>0.05</v>
      </c>
      <c r="I5" s="4">
        <f t="shared" si="5"/>
        <v>4.5</v>
      </c>
      <c r="J5" s="4" t="str">
        <f t="shared" si="2"/>
        <v>needs improvement</v>
      </c>
      <c r="K5" s="4" t="str">
        <f t="shared" ref="K5:K7" si="7">IF(C5&gt;=200,"HIGH",IF(C5&gt;=100,"MEDIUM","LOW"))</f>
        <v>LOW</v>
      </c>
      <c r="L5" s="4" t="str">
        <f t="shared" si="3"/>
        <v>$300</v>
      </c>
      <c r="M5" s="4" t="str">
        <f t="shared" si="4"/>
        <v>NO</v>
      </c>
    </row>
    <row r="6" spans="1:13" x14ac:dyDescent="0.25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5" t="str">
        <f t="shared" si="0"/>
        <v>Yes</v>
      </c>
      <c r="G6" s="5" t="str">
        <f>IF(AND(E6="North",C6&gt;200),"Eligible","Not Eligible")</f>
        <v>Eligible</v>
      </c>
      <c r="H6" s="4">
        <f t="shared" si="6"/>
        <v>0.1</v>
      </c>
      <c r="I6" s="4">
        <f t="shared" si="5"/>
        <v>22</v>
      </c>
      <c r="J6" s="4" t="str">
        <f t="shared" si="2"/>
        <v>Excellent</v>
      </c>
      <c r="K6" s="4" t="str">
        <f t="shared" si="7"/>
        <v>HIGH</v>
      </c>
      <c r="L6" s="4" t="str">
        <f t="shared" si="3"/>
        <v>$500</v>
      </c>
      <c r="M6" s="4" t="str">
        <f t="shared" si="4"/>
        <v>YES</v>
      </c>
    </row>
    <row r="7" spans="1:13" x14ac:dyDescent="0.25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5" t="str">
        <f t="shared" si="0"/>
        <v>No</v>
      </c>
      <c r="G7" s="4" t="str">
        <f t="shared" si="1"/>
        <v>Not Eligible</v>
      </c>
      <c r="H7" s="4">
        <f t="shared" si="6"/>
        <v>0.05</v>
      </c>
      <c r="I7" s="4">
        <f t="shared" si="5"/>
        <v>6.5</v>
      </c>
      <c r="J7" s="4" t="str">
        <f t="shared" si="2"/>
        <v>needs improvement</v>
      </c>
      <c r="K7" s="4" t="str">
        <f t="shared" si="7"/>
        <v>MEDIUM</v>
      </c>
      <c r="L7" s="4" t="str">
        <f t="shared" si="3"/>
        <v>$300</v>
      </c>
      <c r="M7" s="4" t="str">
        <f t="shared" si="4"/>
        <v>NO</v>
      </c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10" spans="1:13" x14ac:dyDescent="0.25">
      <c r="A10" t="s">
        <v>26</v>
      </c>
    </row>
    <row r="11" spans="1:13" x14ac:dyDescent="0.25">
      <c r="A11" t="s">
        <v>23</v>
      </c>
    </row>
    <row r="12" spans="1:13" x14ac:dyDescent="0.25">
      <c r="A12" t="s">
        <v>24</v>
      </c>
    </row>
    <row r="13" spans="1:13" x14ac:dyDescent="0.25">
      <c r="A13" t="s">
        <v>25</v>
      </c>
    </row>
    <row r="14" spans="1:13" ht="17.100000000000001" customHeight="1" x14ac:dyDescent="0.25">
      <c r="A14" s="2" t="s">
        <v>30</v>
      </c>
      <c r="B14" s="2"/>
      <c r="C14" s="2"/>
      <c r="D14" s="2"/>
      <c r="E14" s="2"/>
      <c r="F14" s="2"/>
      <c r="G14" s="2"/>
      <c r="H14" s="2"/>
      <c r="I14" s="2"/>
      <c r="J14" s="2"/>
    </row>
    <row r="15" spans="1:13" ht="16.5" customHeight="1" x14ac:dyDescent="0.25">
      <c r="A15" s="1" t="s">
        <v>29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t="s">
        <v>27</v>
      </c>
    </row>
    <row r="17" spans="1:1" x14ac:dyDescent="0.25">
      <c r="A17" t="s">
        <v>28</v>
      </c>
    </row>
  </sheetData>
  <mergeCells count="2">
    <mergeCell ref="A15:M15"/>
    <mergeCell ref="A14:J1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2026-05-20T11:39:18Z</dcterms:created>
  <dcterms:modified xsi:type="dcterms:W3CDTF">2026-05-21T07:18:56Z</dcterms:modified>
</cp:coreProperties>
</file>